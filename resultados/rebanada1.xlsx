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anad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1" fillId="0" borderId="1" pivotButton="0" quotePrefix="0" xfId="0"/>
    <xf numFmtId="3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Binders, Tables y Machines concentran el 72% de la pérdida (US$)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'rebanada1'!E1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'rebanada1'!$A$2:$A$9</f>
            </numRef>
          </cat>
          <val>
            <numRef>
              <f>'rebanada1'!$E$2:$E$9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5" customWidth="1" min="4" max="4"/>
    <col width="13" customWidth="1" min="5" max="5"/>
    <col width="13" customWidth="1" min="6" max="6"/>
    <col width="12" customWidth="1" min="7" max="7"/>
    <col width="13" customWidth="1" min="8" max="8"/>
  </cols>
  <sheetData>
    <row r="1" ht="32" customHeight="1">
      <c r="A1" s="1" t="inlineStr">
        <is>
          <t>Subcategoría</t>
        </is>
      </c>
      <c r="B1" s="1" t="inlineStr">
        <is>
          <t>Líneas</t>
        </is>
      </c>
      <c r="C1" s="1" t="inlineStr">
        <is>
          <t>Ventas (US$)</t>
        </is>
      </c>
      <c r="D1" s="1" t="inlineStr">
        <is>
          <t>Resultado (US$)</t>
        </is>
      </c>
      <c r="E1" s="1" t="inlineStr">
        <is>
          <t>Pérdida (US$)</t>
        </is>
      </c>
      <c r="F1" s="1" t="inlineStr">
        <is>
          <t>% de la pérdida</t>
        </is>
      </c>
      <c r="G1" s="1" t="inlineStr">
        <is>
          <t>% acumulado</t>
        </is>
      </c>
      <c r="H1" s="1" t="inlineStr">
        <is>
          <t>Resultado / ventas</t>
        </is>
      </c>
    </row>
    <row r="2">
      <c r="A2" s="2" t="inlineStr">
        <is>
          <t>Binders</t>
        </is>
      </c>
      <c r="B2" s="3" t="n">
        <v>613</v>
      </c>
      <c r="C2" s="3" t="n">
        <v>36140.61</v>
      </c>
      <c r="D2" s="4" t="n">
        <v>-38510.5</v>
      </c>
      <c r="E2" s="3">
        <f>IF(D2&lt;0,-D2,0)</f>
        <v/>
      </c>
      <c r="F2" s="5">
        <f>E2/SUM($E$2:$E$10)</f>
        <v/>
      </c>
      <c r="G2" s="5">
        <f>SUM($F$2:F2)</f>
        <v/>
      </c>
      <c r="H2" s="5">
        <f>D2/C2</f>
        <v/>
      </c>
    </row>
    <row r="3">
      <c r="A3" s="2" t="inlineStr">
        <is>
          <t>Tables</t>
        </is>
      </c>
      <c r="B3" s="3" t="n">
        <v>176</v>
      </c>
      <c r="C3" s="3" t="n">
        <v>89956.53999999999</v>
      </c>
      <c r="D3" s="4" t="n">
        <v>-30698.22</v>
      </c>
      <c r="E3" s="3">
        <f>IF(D3&lt;0,-D3,0)</f>
        <v/>
      </c>
      <c r="F3" s="5">
        <f>E3/SUM($E$2:$E$10)</f>
        <v/>
      </c>
      <c r="G3" s="5">
        <f>SUM($F$2:F3)</f>
        <v/>
      </c>
      <c r="H3" s="5">
        <f>D3/C3</f>
        <v/>
      </c>
    </row>
    <row r="4">
      <c r="A4" s="2" t="inlineStr">
        <is>
          <t>Machines</t>
        </is>
      </c>
      <c r="B4" s="3" t="n">
        <v>53</v>
      </c>
      <c r="C4" s="3" t="n">
        <v>76839.11</v>
      </c>
      <c r="D4" s="4" t="n">
        <v>-29555.35</v>
      </c>
      <c r="E4" s="3">
        <f>IF(D4&lt;0,-D4,0)</f>
        <v/>
      </c>
      <c r="F4" s="5">
        <f>E4/SUM($E$2:$E$10)</f>
        <v/>
      </c>
      <c r="G4" s="5">
        <f>SUM($F$2:F4)</f>
        <v/>
      </c>
      <c r="H4" s="5">
        <f>D4/C4</f>
        <v/>
      </c>
    </row>
    <row r="5">
      <c r="A5" s="2" t="inlineStr">
        <is>
          <t>Bookcases</t>
        </is>
      </c>
      <c r="B5" s="3" t="n">
        <v>70</v>
      </c>
      <c r="C5" s="3" t="n">
        <v>28544</v>
      </c>
      <c r="D5" s="4" t="n">
        <v>-11097.76</v>
      </c>
      <c r="E5" s="3">
        <f>IF(D5&lt;0,-D5,0)</f>
        <v/>
      </c>
      <c r="F5" s="5">
        <f>E5/SUM($E$2:$E$10)</f>
        <v/>
      </c>
      <c r="G5" s="5">
        <f>SUM($F$2:F5)</f>
        <v/>
      </c>
      <c r="H5" s="5">
        <f>D5/C5</f>
        <v/>
      </c>
    </row>
    <row r="6">
      <c r="A6" s="2" t="inlineStr">
        <is>
          <t>Appliances</t>
        </is>
      </c>
      <c r="B6" s="3" t="n">
        <v>67</v>
      </c>
      <c r="C6" s="3" t="n">
        <v>3382.53</v>
      </c>
      <c r="D6" s="4" t="n">
        <v>-8629.639999999999</v>
      </c>
      <c r="E6" s="3">
        <f>IF(D6&lt;0,-D6,0)</f>
        <v/>
      </c>
      <c r="F6" s="5">
        <f>E6/SUM($E$2:$E$10)</f>
        <v/>
      </c>
      <c r="G6" s="5">
        <f>SUM($F$2:F6)</f>
        <v/>
      </c>
      <c r="H6" s="5">
        <f>D6/C6</f>
        <v/>
      </c>
    </row>
    <row r="7">
      <c r="A7" s="2" t="inlineStr">
        <is>
          <t>Chairs</t>
        </is>
      </c>
      <c r="B7" s="3" t="n">
        <v>158</v>
      </c>
      <c r="C7" s="3" t="n">
        <v>70005.5</v>
      </c>
      <c r="D7" s="4" t="n">
        <v>-6737.12</v>
      </c>
      <c r="E7" s="3">
        <f>IF(D7&lt;0,-D7,0)</f>
        <v/>
      </c>
      <c r="F7" s="5">
        <f>E7/SUM($E$2:$E$10)</f>
        <v/>
      </c>
      <c r="G7" s="5">
        <f>SUM($F$2:F7)</f>
        <v/>
      </c>
      <c r="H7" s="5">
        <f>D7/C7</f>
        <v/>
      </c>
    </row>
    <row r="8">
      <c r="A8" s="2" t="inlineStr">
        <is>
          <t>Phones</t>
        </is>
      </c>
      <c r="B8" s="3" t="n">
        <v>109</v>
      </c>
      <c r="C8" s="3" t="n">
        <v>34337.35</v>
      </c>
      <c r="D8" s="4" t="n">
        <v>-6385.79</v>
      </c>
      <c r="E8" s="3">
        <f>IF(D8&lt;0,-D8,0)</f>
        <v/>
      </c>
      <c r="F8" s="5">
        <f>E8/SUM($E$2:$E$10)</f>
        <v/>
      </c>
      <c r="G8" s="5">
        <f>SUM($F$2:F8)</f>
        <v/>
      </c>
      <c r="H8" s="5">
        <f>D8/C8</f>
        <v/>
      </c>
    </row>
    <row r="9">
      <c r="A9" s="2" t="inlineStr">
        <is>
          <t>Furnishings</t>
        </is>
      </c>
      <c r="B9" s="3" t="n">
        <v>138</v>
      </c>
      <c r="C9" s="3" t="n">
        <v>6644.7</v>
      </c>
      <c r="D9" s="4" t="n">
        <v>-5944.66</v>
      </c>
      <c r="E9" s="3">
        <f>IF(D9&lt;0,-D9,0)</f>
        <v/>
      </c>
      <c r="F9" s="5">
        <f>E9/SUM($E$2:$E$10)</f>
        <v/>
      </c>
      <c r="G9" s="5">
        <f>SUM($F$2:F9)</f>
        <v/>
      </c>
      <c r="H9" s="5">
        <f>D9/C9</f>
        <v/>
      </c>
    </row>
    <row r="10">
      <c r="A10" s="2" t="inlineStr">
        <is>
          <t>Copiers</t>
        </is>
      </c>
      <c r="B10" s="3" t="n">
        <v>9</v>
      </c>
      <c r="C10" s="3" t="n">
        <v>16919.8</v>
      </c>
      <c r="D10" s="4" t="n">
        <v>2182.98</v>
      </c>
      <c r="E10" s="3">
        <f>IF(D10&lt;0,-D10,0)</f>
        <v/>
      </c>
      <c r="F10" s="5">
        <f>E10/SUM($E$2:$E$10)</f>
        <v/>
      </c>
      <c r="G10" s="5">
        <f>SUM($F$2:F10)</f>
        <v/>
      </c>
      <c r="H10" s="5">
        <f>D10/C10</f>
        <v/>
      </c>
    </row>
    <row r="11">
      <c r="A11" s="6" t="inlineStr">
        <is>
          <t>Total</t>
        </is>
      </c>
      <c r="B11" s="7">
        <f>SUM(B2:B10)</f>
        <v/>
      </c>
      <c r="C11" s="7">
        <f>SUM(C2:C10)</f>
        <v/>
      </c>
      <c r="D11" s="8">
        <f>SUM(D2:D10)</f>
        <v/>
      </c>
      <c r="E11" s="7">
        <f>SUM(E2:E10)</f>
        <v/>
      </c>
      <c r="F11" s="9">
        <f>SUM(F2:F10)</f>
        <v/>
      </c>
      <c r="G11" s="9" t="n"/>
      <c r="H11" s="9">
        <f>D11/C11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2026-10-27T00:32:49Z</dcterms:created>
  <dcterms:modified xmlns:dcterms="http://purl.org/dc/terms/" xmlns:xsi="http://www.w3.org/2001/XMLSchema-instance" xsi:type="dcterms:W3CDTF">2026-10-27T00:32:49Z</dcterms:modified>
</cp:coreProperties>
</file>